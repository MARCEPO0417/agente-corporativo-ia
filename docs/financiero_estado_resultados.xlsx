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o Resultados 2025" sheetId="1" state="visible" r:id="rId3"/>
    <sheet name="Presupuesto 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<sst xmlns="http://schemas.openxmlformats.org/spreadsheetml/2006/main" count="41" uniqueCount="40">
  <si>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NovaTech Solutions — Estado de Resultados 2025 (USD)</t>
  </si>
  <si>
    <t xml:space="preserve">Concepto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</si>
  <si>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</si>
  <si>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</si>
  <si>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</si>
  <si>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</si>
  <si>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</si>
  <si>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</si>
  <si>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</si>
  <si>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</si>
  <si>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</si>
  <si>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</si>
  <si>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</si>
  <si>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</si>
  <si>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Año</t>
  </si>
  <si>
    <t xml:space="preserve">Ingresos por suscripciones (NovaFlow)</t>
  </si>
  <si>
    <t xml:space="preserve">Ingresos por servicios profesionales</t>
  </si>
  <si>
    <t xml:space="preserve">Total ingresos</t>
  </si>
  <si>
    <t xml:space="preserve">Costo de infraestructura / servidores</t>
  </si>
  <si>
    <t xml:space="preserve">Costo de soporte al cliente</t>
  </si>
  <si>
    <t xml:space="preserve">Total costo de ventas (COGS)</t>
  </si>
  <si>
    <t xml:space="preserve">Utilidad bruta</t>
  </si>
  <si>
    <t xml:space="preserve">Gastos de marketing y ventas</t>
  </si>
  <si>
    <t xml:space="preserve">Gastos de nómina (no asignados a COGS)</t>
  </si>
  <si>
    <t xml:space="preserve">Gastos administrativos</t>
  </si>
  <si>
    <t xml:space="preserve">Total gastos operativos</t>
  </si>
  <si>
    <t xml:space="preserve">Utilidad operativa (EBIT)</t>
  </si>
  <si>
    <t xml:space="preserve">Cifras en miles de USD. Fuente: Consolidado interno del área Financiero-Contable, cierre a diciembre 2025.</t>
  </si>
  <si>
    <t xml:space="preserve">NovaTech Solutions — Presupuesto 2026 por Trimestre (USD, miles)</t>
  </si>
  <si>
    <t xml:space="preserve">Q1 2026</t>
  </si>
  <si>
    <t xml:space="preserve">Q2 2026</t>
  </si>
  <si>
    <t xml:space="preserve">Q3 2026</t>
  </si>
  <si>
    <t xml:space="preserve">Q4 2026</t>
  </si>
  <si>
    <t xml:space="preserve">Total 2026</t>
  </si>
  <si>
    <t xml:space="preserve">Ingresos proyectados</t>
  </si>
  <si>
    <t xml:space="preserve">Crecimiento trimestral esperado</t>
  </si>
  <si>
    <t xml:space="preserve">Presupuesto de marketing (15% de ingresos)</t>
  </si>
  <si>
    <t xml:space="preserve">Presupuesto de nómina (contrataciones planeadas: 12 en el año)</t>
  </si>
  <si>
    <t xml:space="preserve">Presupuesto de infraestructura (OCI)</t>
  </si>
  <si>
    <t xml:space="preserve">Nota: crecimiento trimestral asumido a partir de un 8% en Q1, incrementando 1 punto porcentual cada trimestre. Fuente: proyección del área Financiero-Contable, junio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</si>
</sst>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140</v>
      </c>
      <c r="C4" s="4" t="n">
        <v>143</v>
      </c>
      <c r="D4" s="4" t="n">
        <v>148</v>
      </c>
      <c r="E4" s="4" t="n">
        <v>152</v>
      </c>
      <c r="F4" s="4" t="n">
        <v>158</v>
      </c>
      <c r="G4" s="4" t="n">
        <v>163</v>
      </c>
      <c r="H4" s="4" t="n">
        <v>168</v>
      </c>
      <c r="I4" s="4" t="n">
        <v>172</v>
      </c>
      <c r="J4" s="4" t="n">
        <v>178</v>
      </c>
      <c r="K4" s="4" t="n">
        <v>183</v>
      </c>
      <c r="L4" s="4" t="n">
        <v>190</v>
      </c>
      <c r="M4" s="4" t="n">
        <v>198</v>
      </c>
      <c r="N4" s="5" t="n">
        <f aca="false">SUM(B4:M4)</f>
        <v>1993</v>
      </c>
    </row>
    <row r="5" customFormat="false" ht="15" hidden="false" customHeight="false" outlineLevel="0" collapsed="false">
      <c r="A5" s="3" t="s">
        <v>16</v>
      </c>
      <c r="B5" s="4" t="n">
        <v>18</v>
      </c>
      <c r="C5" s="4" t="n">
        <v>15</v>
      </c>
      <c r="D5" s="4" t="n">
        <v>20</v>
      </c>
      <c r="E5" s="4" t="n">
        <v>17</v>
      </c>
      <c r="F5" s="4" t="n">
        <v>19</v>
      </c>
      <c r="G5" s="4" t="n">
        <v>22</v>
      </c>
      <c r="H5" s="4" t="n">
        <v>21</v>
      </c>
      <c r="I5" s="4" t="n">
        <v>18</v>
      </c>
      <c r="J5" s="4" t="n">
        <v>23</v>
      </c>
      <c r="K5" s="4" t="n">
        <v>20</v>
      </c>
      <c r="L5" s="4" t="n">
        <v>25</v>
      </c>
      <c r="M5" s="4" t="n">
        <v>28</v>
      </c>
      <c r="N5" s="5" t="n">
        <f aca="false">SUM(B5:M5)</f>
        <v>246</v>
      </c>
    </row>
    <row r="6" customFormat="false" ht="15" hidden="false" customHeight="false" outlineLevel="0" collapsed="false">
      <c r="A6" s="6" t="s">
        <v>17</v>
      </c>
      <c r="B6" s="7" t="n">
        <f aca="false">B4+B5</f>
        <v>158</v>
      </c>
      <c r="C6" s="7" t="n">
        <f aca="false">C4+C5</f>
        <v>158</v>
      </c>
      <c r="D6" s="7" t="n">
        <f aca="false">D4+D5</f>
        <v>168</v>
      </c>
      <c r="E6" s="7" t="n">
        <f aca="false">E4+E5</f>
        <v>169</v>
      </c>
      <c r="F6" s="7" t="n">
        <f aca="false">F4+F5</f>
        <v>177</v>
      </c>
      <c r="G6" s="7" t="n">
        <f aca="false">G4+G5</f>
        <v>185</v>
      </c>
      <c r="H6" s="7" t="n">
        <f aca="false">H4+H5</f>
        <v>189</v>
      </c>
      <c r="I6" s="7" t="n">
        <f aca="false">I4+I5</f>
        <v>190</v>
      </c>
      <c r="J6" s="7" t="n">
        <f aca="false">J4+J5</f>
        <v>201</v>
      </c>
      <c r="K6" s="7" t="n">
        <f aca="false">K4+K5</f>
        <v>203</v>
      </c>
      <c r="L6" s="7" t="n">
        <f aca="false">L4+L5</f>
        <v>215</v>
      </c>
      <c r="M6" s="7" t="n">
        <f aca="false">M4+M5</f>
        <v>226</v>
      </c>
      <c r="N6" s="7" t="n">
        <f aca="false">SUM(B6:M6)</f>
        <v>2239</v>
      </c>
    </row>
    <row r="8" customFormat="false" ht="15" hidden="false" customHeight="false" outlineLevel="0" collapsed="false">
      <c r="A8" s="3" t="s">
        <v>18</v>
      </c>
      <c r="B8" s="4" t="n">
        <v>22</v>
      </c>
      <c r="C8" s="4" t="n">
        <v>22</v>
      </c>
      <c r="D8" s="4" t="n">
        <v>23</v>
      </c>
      <c r="E8" s="4" t="n">
        <v>23</v>
      </c>
      <c r="F8" s="4" t="n">
        <v>24</v>
      </c>
      <c r="G8" s="4" t="n">
        <v>25</v>
      </c>
      <c r="H8" s="4" t="n">
        <v>25</v>
      </c>
      <c r="I8" s="4" t="n">
        <v>26</v>
      </c>
      <c r="J8" s="4" t="n">
        <v>27</v>
      </c>
      <c r="K8" s="4" t="n">
        <v>27</v>
      </c>
      <c r="L8" s="4" t="n">
        <v>28</v>
      </c>
      <c r="M8" s="4" t="n">
        <v>29</v>
      </c>
      <c r="N8" s="5" t="n">
        <f aca="false">SUM(B8:M8)</f>
        <v>301</v>
      </c>
    </row>
    <row r="9" customFormat="false" ht="15" hidden="false" customHeight="false" outlineLevel="0" collapsed="false">
      <c r="A9" s="3" t="s">
        <v>19</v>
      </c>
      <c r="B9" s="4" t="n">
        <v>15</v>
      </c>
      <c r="C9" s="4" t="n">
        <v>15</v>
      </c>
      <c r="D9" s="4" t="n">
        <v>16</v>
      </c>
      <c r="E9" s="4" t="n">
        <v>16</v>
      </c>
      <c r="F9" s="4" t="n">
        <v>17</v>
      </c>
      <c r="G9" s="4" t="n">
        <v>17</v>
      </c>
      <c r="H9" s="4" t="n">
        <v>18</v>
      </c>
      <c r="I9" s="4" t="n">
        <v>18</v>
      </c>
      <c r="J9" s="4" t="n">
        <v>19</v>
      </c>
      <c r="K9" s="4" t="n">
        <v>19</v>
      </c>
      <c r="L9" s="4" t="n">
        <v>20</v>
      </c>
      <c r="M9" s="4" t="n">
        <v>21</v>
      </c>
      <c r="N9" s="5" t="n">
        <f aca="false">SUM(B9:M9)</f>
        <v>211</v>
      </c>
    </row>
    <row r="10" customFormat="false" ht="15" hidden="false" customHeight="false" outlineLevel="0" collapsed="false">
      <c r="A10" s="6" t="s">
        <v>20</v>
      </c>
      <c r="B10" s="7" t="n">
        <f aca="false">B8+B9</f>
        <v>37</v>
      </c>
      <c r="C10" s="7" t="n">
        <f aca="false">C8+C9</f>
        <v>37</v>
      </c>
      <c r="D10" s="7" t="n">
        <f aca="false">D8+D9</f>
        <v>39</v>
      </c>
      <c r="E10" s="7" t="n">
        <f aca="false">E8+E9</f>
        <v>39</v>
      </c>
      <c r="F10" s="7" t="n">
        <f aca="false">F8+F9</f>
        <v>41</v>
      </c>
      <c r="G10" s="7" t="n">
        <f aca="false">G8+G9</f>
        <v>42</v>
      </c>
      <c r="H10" s="7" t="n">
        <f aca="false">H8+H9</f>
        <v>43</v>
      </c>
      <c r="I10" s="7" t="n">
        <f aca="false">I8+I9</f>
        <v>44</v>
      </c>
      <c r="J10" s="7" t="n">
        <f aca="false">J8+J9</f>
        <v>46</v>
      </c>
      <c r="K10" s="7" t="n">
        <f aca="false">K8+K9</f>
        <v>46</v>
      </c>
      <c r="L10" s="7" t="n">
        <f aca="false">L8+L9</f>
        <v>48</v>
      </c>
      <c r="M10" s="7" t="n">
        <f aca="false">M8+M9</f>
        <v>50</v>
      </c>
      <c r="N10" s="7" t="n">
        <f aca="false">SUM(B10:M10)</f>
        <v>512</v>
      </c>
    </row>
    <row r="12" customFormat="false" ht="15" hidden="false" customHeight="false" outlineLevel="0" collapsed="false">
      <c r="A12" s="6" t="s">
        <v>21</v>
      </c>
      <c r="B12" s="7" t="n">
        <f aca="false">B6-B10</f>
        <v>121</v>
      </c>
      <c r="C12" s="7" t="n">
        <f aca="false">C6-C10</f>
        <v>121</v>
      </c>
      <c r="D12" s="7" t="n">
        <f aca="false">D6-D10</f>
        <v>129</v>
      </c>
      <c r="E12" s="7" t="n">
        <f aca="false">E6-E10</f>
        <v>130</v>
      </c>
      <c r="F12" s="7" t="n">
        <f aca="false">F6-F10</f>
        <v>136</v>
      </c>
      <c r="G12" s="7" t="n">
        <f aca="false">G6-G10</f>
        <v>143</v>
      </c>
      <c r="H12" s="7" t="n">
        <f aca="false">H6-H10</f>
        <v>146</v>
      </c>
      <c r="I12" s="7" t="n">
        <f aca="false">I6-I10</f>
        <v>146</v>
      </c>
      <c r="J12" s="7" t="n">
        <f aca="false">J6-J10</f>
        <v>155</v>
      </c>
      <c r="K12" s="7" t="n">
        <f aca="false">K6-K10</f>
        <v>157</v>
      </c>
      <c r="L12" s="7" t="n">
        <f aca="false">L6-L10</f>
        <v>167</v>
      </c>
      <c r="M12" s="7" t="n">
        <f aca="false">M6-M10</f>
        <v>176</v>
      </c>
      <c r="N12" s="7" t="n">
        <f aca="false">SUM(B12:M12)</f>
        <v>1727</v>
      </c>
    </row>
    <row r="14" customFormat="false" ht="15" hidden="false" customHeight="false" outlineLevel="0" collapsed="false">
      <c r="A14" s="3" t="s">
        <v>22</v>
      </c>
      <c r="B14" s="4" t="n">
        <v>25</v>
      </c>
      <c r="C14" s="4" t="n">
        <v>24</v>
      </c>
      <c r="D14" s="4" t="n">
        <v>26</v>
      </c>
      <c r="E14" s="4" t="n">
        <v>28</v>
      </c>
      <c r="F14" s="4" t="n">
        <v>27</v>
      </c>
      <c r="G14" s="4" t="n">
        <v>30</v>
      </c>
      <c r="H14" s="4" t="n">
        <v>29</v>
      </c>
      <c r="I14" s="4" t="n">
        <v>31</v>
      </c>
      <c r="J14" s="4" t="n">
        <v>33</v>
      </c>
      <c r="K14" s="4" t="n">
        <v>32</v>
      </c>
      <c r="L14" s="4" t="n">
        <v>35</v>
      </c>
      <c r="M14" s="4" t="n">
        <v>40</v>
      </c>
      <c r="N14" s="5" t="n">
        <f aca="false">SUM(B14:M14)</f>
        <v>360</v>
      </c>
    </row>
    <row r="15" customFormat="false" ht="15" hidden="false" customHeight="false" outlineLevel="0" collapsed="false">
      <c r="A15" s="3" t="s">
        <v>23</v>
      </c>
      <c r="B15" s="4" t="n">
        <v>95</v>
      </c>
      <c r="C15" s="4" t="n">
        <v>95</v>
      </c>
      <c r="D15" s="4" t="n">
        <v>97</v>
      </c>
      <c r="E15" s="4" t="n">
        <v>97</v>
      </c>
      <c r="F15" s="4" t="n">
        <v>99</v>
      </c>
      <c r="G15" s="4" t="n">
        <v>99</v>
      </c>
      <c r="H15" s="4" t="n">
        <v>101</v>
      </c>
      <c r="I15" s="4" t="n">
        <v>101</v>
      </c>
      <c r="J15" s="4" t="n">
        <v>103</v>
      </c>
      <c r="K15" s="4" t="n">
        <v>103</v>
      </c>
      <c r="L15" s="4" t="n">
        <v>105</v>
      </c>
      <c r="M15" s="4" t="n">
        <v>105</v>
      </c>
      <c r="N15" s="5" t="n">
        <f aca="false">SUM(B15:M15)</f>
        <v>1200</v>
      </c>
    </row>
    <row r="16" customFormat="false" ht="15" hidden="false" customHeight="false" outlineLevel="0" collapsed="false">
      <c r="A16" s="3" t="s">
        <v>24</v>
      </c>
      <c r="B16" s="4" t="n">
        <v>10</v>
      </c>
      <c r="C16" s="4" t="n">
        <v>10</v>
      </c>
      <c r="D16" s="4" t="n">
        <v>11</v>
      </c>
      <c r="E16" s="4" t="n">
        <v>10</v>
      </c>
      <c r="F16" s="4" t="n">
        <v>11</v>
      </c>
      <c r="G16" s="4" t="n">
        <v>11</v>
      </c>
      <c r="H16" s="4" t="n">
        <v>12</v>
      </c>
      <c r="I16" s="4" t="n">
        <v>11</v>
      </c>
      <c r="J16" s="4" t="n">
        <v>12</v>
      </c>
      <c r="K16" s="4" t="n">
        <v>12</v>
      </c>
      <c r="L16" s="4" t="n">
        <v>13</v>
      </c>
      <c r="M16" s="4" t="n">
        <v>14</v>
      </c>
      <c r="N16" s="5" t="n">
        <f aca="false">SUM(B16:M16)</f>
        <v>137</v>
      </c>
    </row>
    <row r="17" customFormat="false" ht="15" hidden="false" customHeight="false" outlineLevel="0" collapsed="false">
      <c r="A17" s="6" t="s">
        <v>25</v>
      </c>
      <c r="B17" s="7" t="n">
        <f aca="false">B14+B15+B16</f>
        <v>130</v>
      </c>
      <c r="C17" s="7" t="n">
        <f aca="false">C14+C15+C16</f>
        <v>129</v>
      </c>
      <c r="D17" s="7" t="n">
        <f aca="false">D14+D15+D16</f>
        <v>134</v>
      </c>
      <c r="E17" s="7" t="n">
        <f aca="false">E14+E15+E16</f>
        <v>135</v>
      </c>
      <c r="F17" s="7" t="n">
        <f aca="false">F14+F15+F16</f>
        <v>137</v>
      </c>
      <c r="G17" s="7" t="n">
        <f aca="false">G14+G15+G16</f>
        <v>140</v>
      </c>
      <c r="H17" s="7" t="n">
        <f aca="false">H14+H15+H16</f>
        <v>142</v>
      </c>
      <c r="I17" s="7" t="n">
        <f aca="false">I14+I15+I16</f>
        <v>143</v>
      </c>
      <c r="J17" s="7" t="n">
        <f aca="false">J14+J15+J16</f>
        <v>148</v>
      </c>
      <c r="K17" s="7" t="n">
        <f aca="false">K14+K15+K16</f>
        <v>147</v>
      </c>
      <c r="L17" s="7" t="n">
        <f aca="false">L14+L15+L16</f>
        <v>153</v>
      </c>
      <c r="M17" s="7" t="n">
        <f aca="false">M14+M15+M16</f>
        <v>159</v>
      </c>
      <c r="N17" s="7" t="n">
        <f aca="false">SUM(B17:M17)</f>
        <v>1697</v>
      </c>
    </row>
    <row r="19" customFormat="false" ht="15" hidden="false" customHeight="false" outlineLevel="0" collapsed="false">
      <c r="A19" s="8" t="s">
        <v>26</v>
      </c>
      <c r="B19" s="9" t="n">
        <f aca="false">B12-B17</f>
        <v>-9</v>
      </c>
      <c r="C19" s="9" t="n">
        <f aca="false">C12-C17</f>
        <v>-8</v>
      </c>
      <c r="D19" s="9" t="n">
        <f aca="false">D12-D17</f>
        <v>-5</v>
      </c>
      <c r="E19" s="9" t="n">
        <f aca="false">E12-E17</f>
        <v>-5</v>
      </c>
      <c r="F19" s="9" t="n">
        <f aca="false">F12-F17</f>
        <v>-1</v>
      </c>
      <c r="G19" s="9" t="n">
        <f aca="false">G12-G17</f>
        <v>3</v>
      </c>
      <c r="H19" s="9" t="n">
        <f aca="false">H12-H17</f>
        <v>4</v>
      </c>
      <c r="I19" s="9" t="n">
        <f aca="false">I12-I17</f>
        <v>3</v>
      </c>
      <c r="J19" s="9" t="n">
        <f aca="false">J12-J17</f>
        <v>7</v>
      </c>
      <c r="K19" s="9" t="n">
        <f aca="false">K12-K17</f>
        <v>10</v>
      </c>
      <c r="L19" s="9" t="n">
        <f aca="false">L12-L17</f>
        <v>14</v>
      </c>
      <c r="M19" s="9" t="n">
        <f aca="false">M12-M17</f>
        <v>17</v>
      </c>
      <c r="N19" s="9" t="n">
        <f aca="false">SUM(B19:M19)</f>
        <v>30</v>
      </c>
    </row>
    <row r="21" customFormat="false" ht="15" hidden="false" customHeight="false" outlineLevel="0" collapsed="false">
      <c r="A21" s="10" t="s">
        <v>27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</sheetData>
  <mergeCells count="2">
    <mergeCell ref="A1:N1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</row>
    <row r="4" customFormat="false" ht="15" hidden="false" customHeight="false" outlineLevel="0" collapsed="false">
      <c r="A4" s="11" t="s">
        <v>34</v>
      </c>
      <c r="B4" s="12" t="n">
        <v>520</v>
      </c>
      <c r="C4" s="12" t="n">
        <v>560</v>
      </c>
      <c r="D4" s="12" t="n">
        <v>610</v>
      </c>
      <c r="E4" s="12" t="n">
        <v>670</v>
      </c>
      <c r="F4" s="12" t="n">
        <f aca="false">SUM(B4:E4)</f>
        <v>2360</v>
      </c>
    </row>
    <row r="5" customFormat="false" ht="15" hidden="false" customHeight="false" outlineLevel="0" collapsed="false">
      <c r="A5" s="11" t="s">
        <v>35</v>
      </c>
      <c r="B5" s="13" t="n">
        <v>0.08</v>
      </c>
      <c r="C5" s="13" t="n">
        <f aca="false">B5+0.01</f>
        <v>0.09</v>
      </c>
      <c r="D5" s="13" t="n">
        <f aca="false">C5+0.01</f>
        <v>0.1</v>
      </c>
      <c r="E5" s="13" t="n">
        <f aca="false">D5+0.01</f>
        <v>0.11</v>
      </c>
      <c r="F5" s="11"/>
    </row>
    <row r="6" customFormat="false" ht="15" hidden="false" customHeight="false" outlineLevel="0" collapsed="false">
      <c r="A6" s="11" t="s">
        <v>36</v>
      </c>
      <c r="B6" s="12" t="n">
        <f aca="false">B4*0.15</f>
        <v>78</v>
      </c>
      <c r="C6" s="12" t="n">
        <f aca="false">C4*0.15</f>
        <v>84</v>
      </c>
      <c r="D6" s="12" t="n">
        <f aca="false">D4*0.15</f>
        <v>91.5</v>
      </c>
      <c r="E6" s="12" t="n">
        <f aca="false">E4*0.15</f>
        <v>100.5</v>
      </c>
      <c r="F6" s="12" t="n">
        <f aca="false">SUM(B6:E6)</f>
        <v>354</v>
      </c>
    </row>
    <row r="7" customFormat="false" ht="15" hidden="false" customHeight="false" outlineLevel="0" collapsed="false">
      <c r="A7" s="11" t="s">
        <v>37</v>
      </c>
      <c r="B7" s="12" t="n">
        <v>300</v>
      </c>
      <c r="C7" s="12" t="n">
        <v>315</v>
      </c>
      <c r="D7" s="12" t="n">
        <v>330</v>
      </c>
      <c r="E7" s="12" t="n">
        <v>345</v>
      </c>
      <c r="F7" s="12" t="n">
        <f aca="false">SUM(B7:E7)</f>
        <v>1290</v>
      </c>
    </row>
    <row r="8" customFormat="false" ht="15" hidden="false" customHeight="false" outlineLevel="0" collapsed="false">
      <c r="A8" s="11" t="s">
        <v>38</v>
      </c>
      <c r="B8" s="12" t="n">
        <v>70</v>
      </c>
      <c r="C8" s="12" t="n">
        <v>75</v>
      </c>
      <c r="D8" s="12" t="n">
        <v>82</v>
      </c>
      <c r="E8" s="12" t="n">
        <v>90</v>
      </c>
      <c r="F8" s="12" t="n">
        <f aca="false">SUM(B8:E8)</f>
        <v>317</v>
      </c>
    </row>
    <row r="10" customFormat="false" ht="15" hidden="false" customHeight="false" outlineLevel="0" collapsed="false">
      <c r="A10" s="10" t="s">
        <v>39</v>
      </c>
      <c r="B10" s="10"/>
      <c r="C10" s="10"/>
      <c r="D10" s="10"/>
      <c r="E10" s="10"/>
      <c r="F10" s="10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2026-07-17T03:19:00Z</dcterms:created>
  <dc:creator>openpyxl</dc:creator>
  <dc:description/>
  <dc:language>en-US</dc:language>
  <cp:lastModifiedBy/>
  <dcterms:modified xsi:type="dcterms:W3CDTF">2026-07-17T03:19:00Z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